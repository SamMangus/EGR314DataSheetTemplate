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6238\OneDrive\Desktop\"/>
    </mc:Choice>
  </mc:AlternateContent>
  <xr:revisionPtr revIDLastSave="0" documentId="8_{1BEBCC60-8CD7-4658-AE4B-192990E5ADB4}" xr6:coauthVersionLast="47" xr6:coauthVersionMax="47" xr10:uidLastSave="{00000000-0000-0000-0000-000000000000}"/>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 r="G30" i="1"/>
  <c r="G29" i="1"/>
  <c r="G21" i="1"/>
  <c r="G16" i="1"/>
  <c r="G15" i="1"/>
  <c r="G12" i="1"/>
  <c r="G11" i="1"/>
  <c r="G10" i="1"/>
  <c r="G9" i="1"/>
  <c r="G17" i="1" l="1"/>
  <c r="G19" i="1" s="1"/>
  <c r="G22" i="1" s="1"/>
  <c r="G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family val="2"/>
          </rPr>
          <t>For inductive loads (e.g., motors, solenoids) this is often called "stall current" on the data sheet</t>
        </r>
      </text>
    </comment>
  </commentList>
</comments>
</file>

<file path=xl/sharedStrings.xml><?xml version="1.0" encoding="utf-8"?>
<sst xmlns="http://schemas.openxmlformats.org/spreadsheetml/2006/main" count="88" uniqueCount="43">
  <si>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</si>
  <si>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</si>
  <si>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</si>
  <si>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</si>
  <si>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</si>
  <si>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</si>
  <si>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</si>
  <si>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</si>
  <si>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</si>
  <si>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</si>
  <si>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</si>
  <si>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</si>
  <si>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</si>
  <si>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</si>
  <si>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</si>
  <si>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 xml:space="preserve">Subtotal </t>
  </si>
  <si>
    <t>Safety Margin</t>
  </si>
  <si>
    <t xml:space="preserve"> +3.3V Power Rail</t>
  </si>
  <si>
    <t>Total Current Required on +3.3V Rail</t>
  </si>
  <si>
    <t>c4. Regulator or Source Choice</t>
  </si>
  <si>
    <t xml:space="preserve"> +3.3V low-dropout regulator</t>
  </si>
  <si>
    <t>Total Remaining Current Available on 3.3V Rail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</si>
  <si>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</si>
  <si>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</si>
  <si>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</si>
  <si>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</si>
  <si>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</si>
  <si>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</si>
  <si>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</si>
  <si>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 xml:space="preserve"> +9V</t>
  </si>
  <si>
    <t>Underwater Explorer</t>
  </si>
  <si>
    <t>Sam B, Sam M, Jacob, Mo, Adrian, Andrew</t>
  </si>
  <si>
    <t>PIC Microcontroller</t>
  </si>
  <si>
    <t>PIC18F47K42</t>
  </si>
  <si>
    <t>Temperature sensor</t>
  </si>
  <si>
    <t>TC74A4</t>
  </si>
  <si>
    <t>MIC5504</t>
  </si>
  <si>
    <t>Voltage regulator</t>
  </si>
  <si>
    <t>MPLab snap debugger</t>
  </si>
  <si>
    <t>PG164100</t>
  </si>
  <si>
    <t xml:space="preserve"> +3.3V</t>
  </si>
  <si>
    <t>100-240VAC</t>
  </si>
  <si>
    <t>C/DC ADAPTER 093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</si>
</sst>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b/>
      <sz val="12"/>
      <name val="Calibri"/>
      <family val="2"/>
    </font>
    <font>
      <sz val="12"/>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53">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1" xfId="0" applyFont="1" applyBorder="1" applyAlignment="1">
      <alignment horizontal="left"/>
    </xf>
    <xf numFmtId="0" fontId="5" fillId="0" borderId="11" xfId="0" applyFont="1" applyBorder="1" applyAlignment="1">
      <alignment wrapText="1"/>
    </xf>
    <xf numFmtId="0" fontId="3" fillId="0" borderId="12" xfId="0" applyFont="1" applyBorder="1"/>
    <xf numFmtId="0" fontId="3" fillId="0" borderId="13" xfId="0" applyFont="1" applyBorder="1"/>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7" fillId="0" borderId="0" xfId="0" applyFont="1" applyAlignment="1">
      <alignment horizontal="right"/>
    </xf>
    <xf numFmtId="0" fontId="5" fillId="0" borderId="0" xfId="0" applyFont="1" applyAlignment="1">
      <alignment horizontal="right"/>
    </xf>
    <xf numFmtId="0" fontId="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3"/>
  <sheetViews>
    <sheetView tabSelected="1" workbookViewId="0">
      <selection activeCell="A39" sqref="A39"/>
    </sheetView>
  </sheetViews>
  <sheetFormatPr defaultColWidth="13.3984375" defaultRowHeight="15.75" customHeight="1" x14ac:dyDescent="0.3"/>
  <cols>
    <col min="1" max="1" width="26.09765625" customWidth="1"/>
    <col min="2" max="2" width="46.3984375" bestFit="1" customWidth="1"/>
    <col min="3" max="3" width="16" bestFit="1" customWidth="1"/>
    <col min="4" max="4" width="23.796875" bestFit="1" customWidth="1"/>
    <col min="5" max="5" width="6.8984375" customWidth="1"/>
    <col min="6" max="6" width="34" bestFit="1" customWidth="1"/>
    <col min="7" max="7" width="25.59765625" bestFit="1" customWidth="1"/>
    <col min="8" max="8" width="5.69921875" bestFit="1" customWidth="1"/>
  </cols>
  <sheetData>
    <row r="1" spans="1:8" ht="30" customHeight="1" x14ac:dyDescent="0.6">
      <c r="A1" s="52" t="s">
        <v>0</v>
      </c>
      <c r="B1" s="43"/>
      <c r="C1" s="43"/>
      <c r="D1" s="43"/>
      <c r="E1" s="43"/>
      <c r="F1" s="43"/>
      <c r="G1" s="43"/>
      <c r="H1" s="43"/>
    </row>
    <row r="2" spans="1:8" ht="15" customHeight="1" x14ac:dyDescent="0.3">
      <c r="A2" s="1" t="s">
        <v>1</v>
      </c>
      <c r="B2" s="39">
        <v>308</v>
      </c>
      <c r="D2" s="2"/>
      <c r="E2" s="2"/>
    </row>
    <row r="3" spans="1:8" ht="15" customHeight="1" x14ac:dyDescent="0.3">
      <c r="A3" s="3" t="s">
        <v>2</v>
      </c>
      <c r="B3" s="1" t="s">
        <v>30</v>
      </c>
      <c r="C3" s="4"/>
      <c r="D3" s="2"/>
      <c r="E3" s="2"/>
      <c r="F3" s="4"/>
      <c r="G3" s="4"/>
      <c r="H3" s="4"/>
    </row>
    <row r="4" spans="1:8" ht="15" customHeight="1" x14ac:dyDescent="0.3">
      <c r="A4" s="3" t="s">
        <v>3</v>
      </c>
      <c r="B4" s="1" t="s">
        <v>31</v>
      </c>
      <c r="C4" s="4"/>
      <c r="D4" s="2"/>
      <c r="E4" s="2"/>
      <c r="F4" s="4"/>
      <c r="G4" s="4"/>
      <c r="H4" s="4"/>
    </row>
    <row r="5" spans="1:8" ht="15" customHeight="1" x14ac:dyDescent="0.3">
      <c r="A5" s="3" t="s">
        <v>4</v>
      </c>
      <c r="B5" s="1">
        <v>1</v>
      </c>
      <c r="C5" s="4"/>
      <c r="D5" s="2"/>
      <c r="E5" s="2"/>
      <c r="F5" s="4"/>
      <c r="G5" s="4"/>
      <c r="H5" s="4"/>
    </row>
    <row r="6" spans="1:8" ht="15" customHeight="1" x14ac:dyDescent="0.3">
      <c r="A6" s="5"/>
      <c r="B6" s="4"/>
      <c r="C6" s="4"/>
      <c r="D6" s="2"/>
      <c r="E6" s="2"/>
      <c r="F6" s="4"/>
      <c r="G6" s="4"/>
      <c r="H6" s="4"/>
    </row>
    <row r="7" spans="1:8" ht="15" customHeight="1" x14ac:dyDescent="0.3">
      <c r="A7" s="44" t="s">
        <v>5</v>
      </c>
      <c r="B7" s="45"/>
      <c r="C7" s="45"/>
      <c r="D7" s="45"/>
      <c r="E7" s="45"/>
      <c r="F7" s="45"/>
      <c r="G7" s="45"/>
      <c r="H7" s="46"/>
    </row>
    <row r="8" spans="1:8" ht="15" customHeight="1" x14ac:dyDescent="0.3">
      <c r="A8" s="6" t="s">
        <v>6</v>
      </c>
      <c r="B8" s="7" t="s">
        <v>7</v>
      </c>
      <c r="C8" s="7" t="s">
        <v>8</v>
      </c>
      <c r="D8" s="8" t="s">
        <v>9</v>
      </c>
      <c r="E8" s="8" t="s">
        <v>10</v>
      </c>
      <c r="F8" s="9" t="s">
        <v>11</v>
      </c>
      <c r="G8" s="10" t="s">
        <v>12</v>
      </c>
      <c r="H8" s="10" t="s">
        <v>13</v>
      </c>
    </row>
    <row r="9" spans="1:8" ht="15" customHeight="1" x14ac:dyDescent="0.3">
      <c r="A9" s="11"/>
      <c r="B9" t="s">
        <v>32</v>
      </c>
      <c r="C9" t="s">
        <v>33</v>
      </c>
      <c r="D9" s="12" t="s">
        <v>40</v>
      </c>
      <c r="E9" s="13">
        <v>1</v>
      </c>
      <c r="F9">
        <v>350</v>
      </c>
      <c r="G9" s="14">
        <f t="shared" ref="G9:G12" si="0">E9*F9</f>
        <v>350</v>
      </c>
      <c r="H9" s="15" t="s">
        <v>14</v>
      </c>
    </row>
    <row r="10" spans="1:8" ht="15" customHeight="1" x14ac:dyDescent="0.3">
      <c r="A10" s="11"/>
      <c r="B10" t="s">
        <v>34</v>
      </c>
      <c r="C10" t="s">
        <v>35</v>
      </c>
      <c r="D10" s="12" t="s">
        <v>40</v>
      </c>
      <c r="E10" s="13">
        <v>1</v>
      </c>
      <c r="F10">
        <v>0.35</v>
      </c>
      <c r="G10" s="14">
        <f t="shared" si="0"/>
        <v>0.35</v>
      </c>
      <c r="H10" s="15" t="s">
        <v>14</v>
      </c>
    </row>
    <row r="11" spans="1:8" ht="15" customHeight="1" x14ac:dyDescent="0.3">
      <c r="A11" s="11"/>
      <c r="B11" t="s">
        <v>37</v>
      </c>
      <c r="C11" t="s">
        <v>36</v>
      </c>
      <c r="D11" s="13" t="s">
        <v>40</v>
      </c>
      <c r="E11" s="13">
        <v>1</v>
      </c>
      <c r="F11">
        <v>300</v>
      </c>
      <c r="G11" s="14">
        <f t="shared" si="0"/>
        <v>300</v>
      </c>
      <c r="H11" s="15" t="s">
        <v>14</v>
      </c>
    </row>
    <row r="12" spans="1:8" ht="15" customHeight="1" x14ac:dyDescent="0.3">
      <c r="A12" s="11"/>
      <c r="B12" s="16" t="s">
        <v>38</v>
      </c>
      <c r="C12" s="16" t="s">
        <v>39</v>
      </c>
      <c r="D12" s="17" t="s">
        <v>40</v>
      </c>
      <c r="E12" s="12">
        <v>1</v>
      </c>
      <c r="F12" s="16">
        <v>0</v>
      </c>
      <c r="G12" s="14">
        <f t="shared" si="0"/>
        <v>0</v>
      </c>
      <c r="H12" s="15" t="s">
        <v>14</v>
      </c>
    </row>
    <row r="13" spans="1:8" ht="15" customHeight="1" x14ac:dyDescent="0.3">
      <c r="A13" s="20" t="s">
        <v>17</v>
      </c>
      <c r="B13" s="7" t="s">
        <v>7</v>
      </c>
      <c r="C13" s="7" t="s">
        <v>8</v>
      </c>
      <c r="D13" s="8" t="s">
        <v>9</v>
      </c>
      <c r="E13" s="8" t="s">
        <v>10</v>
      </c>
      <c r="F13" s="9" t="s">
        <v>11</v>
      </c>
      <c r="G13" s="26" t="s">
        <v>12</v>
      </c>
      <c r="H13" s="26" t="s">
        <v>13</v>
      </c>
    </row>
    <row r="14" spans="1:8" ht="15" customHeight="1" x14ac:dyDescent="0.3">
      <c r="A14" s="11"/>
      <c r="B14" t="s">
        <v>32</v>
      </c>
      <c r="C14" t="s">
        <v>33</v>
      </c>
      <c r="D14" s="12" t="s">
        <v>40</v>
      </c>
      <c r="E14" s="13">
        <v>1</v>
      </c>
      <c r="F14">
        <v>350</v>
      </c>
      <c r="G14" s="14">
        <v>200</v>
      </c>
      <c r="H14" s="15" t="s">
        <v>14</v>
      </c>
    </row>
    <row r="15" spans="1:8" ht="15" customHeight="1" x14ac:dyDescent="0.3">
      <c r="A15" s="11"/>
      <c r="B15" t="s">
        <v>34</v>
      </c>
      <c r="C15" t="s">
        <v>35</v>
      </c>
      <c r="D15" s="12" t="s">
        <v>40</v>
      </c>
      <c r="E15" s="13">
        <v>1</v>
      </c>
      <c r="F15">
        <v>0.35</v>
      </c>
      <c r="G15" s="14">
        <f t="shared" ref="G15:G16" si="1">E15*F15</f>
        <v>0.35</v>
      </c>
      <c r="H15" s="15" t="s">
        <v>14</v>
      </c>
    </row>
    <row r="16" spans="1:8" ht="15" customHeight="1" x14ac:dyDescent="0.3">
      <c r="A16" s="11"/>
      <c r="B16" s="16" t="s">
        <v>38</v>
      </c>
      <c r="C16" s="16" t="s">
        <v>39</v>
      </c>
      <c r="D16" s="12" t="s">
        <v>40</v>
      </c>
      <c r="E16" s="12">
        <v>1</v>
      </c>
      <c r="F16" s="16">
        <v>0</v>
      </c>
      <c r="G16" s="14">
        <f t="shared" si="1"/>
        <v>0</v>
      </c>
      <c r="H16" s="15" t="s">
        <v>14</v>
      </c>
    </row>
    <row r="17" spans="1:8" ht="15" customHeight="1" x14ac:dyDescent="0.3">
      <c r="A17" s="11"/>
      <c r="B17" s="50" t="s">
        <v>15</v>
      </c>
      <c r="C17" s="43"/>
      <c r="D17" s="43"/>
      <c r="E17" s="43"/>
      <c r="F17" s="43"/>
      <c r="G17" s="14">
        <f>SUM(G13:G16)</f>
        <v>200.35</v>
      </c>
      <c r="H17" s="15" t="s">
        <v>14</v>
      </c>
    </row>
    <row r="18" spans="1:8" ht="15" customHeight="1" x14ac:dyDescent="0.3">
      <c r="A18" s="11"/>
      <c r="B18" s="50" t="s">
        <v>16</v>
      </c>
      <c r="C18" s="43"/>
      <c r="D18" s="43"/>
      <c r="E18" s="43"/>
      <c r="F18" s="43"/>
      <c r="G18" s="21">
        <v>0.25</v>
      </c>
      <c r="H18" s="21"/>
    </row>
    <row r="19" spans="1:8" ht="15" customHeight="1" x14ac:dyDescent="0.3">
      <c r="A19" s="11"/>
      <c r="B19" s="51" t="s">
        <v>18</v>
      </c>
      <c r="C19" s="43"/>
      <c r="D19" s="43"/>
      <c r="E19" s="43"/>
      <c r="F19" s="43"/>
      <c r="G19" s="14">
        <f>G17*(1+G18)</f>
        <v>250.4375</v>
      </c>
      <c r="H19" s="15" t="s">
        <v>14</v>
      </c>
    </row>
    <row r="20" spans="1:8" ht="15" customHeight="1" x14ac:dyDescent="0.3">
      <c r="A20" s="22"/>
      <c r="B20" s="16"/>
      <c r="D20" s="12"/>
      <c r="E20" s="13"/>
      <c r="G20" s="14"/>
      <c r="H20" s="19"/>
    </row>
    <row r="21" spans="1:8" ht="15" customHeight="1" x14ac:dyDescent="0.3">
      <c r="A21" s="22" t="s">
        <v>19</v>
      </c>
      <c r="B21" s="16" t="s">
        <v>20</v>
      </c>
      <c r="C21" t="s">
        <v>36</v>
      </c>
      <c r="D21" s="12" t="s">
        <v>40</v>
      </c>
      <c r="E21" s="13">
        <v>1</v>
      </c>
      <c r="F21">
        <v>300</v>
      </c>
      <c r="G21" s="14">
        <f>E21*F21</f>
        <v>300</v>
      </c>
      <c r="H21" s="15" t="s">
        <v>14</v>
      </c>
    </row>
    <row r="22" spans="1:8" ht="15" customHeight="1" x14ac:dyDescent="0.3">
      <c r="A22" s="11"/>
      <c r="B22" s="49" t="s">
        <v>21</v>
      </c>
      <c r="C22" s="43"/>
      <c r="D22" s="43"/>
      <c r="E22" s="43"/>
      <c r="F22" s="43"/>
      <c r="G22" s="25">
        <f>G21-G19</f>
        <v>49.5625</v>
      </c>
      <c r="H22" s="15" t="s">
        <v>14</v>
      </c>
    </row>
    <row r="23" spans="1:8" ht="15" customHeight="1" x14ac:dyDescent="0.3">
      <c r="A23" s="27"/>
      <c r="B23" s="28"/>
      <c r="C23" s="28"/>
      <c r="D23" s="28"/>
      <c r="E23" s="28"/>
      <c r="F23" s="28"/>
      <c r="G23" s="29"/>
      <c r="H23" s="30"/>
    </row>
    <row r="24" spans="1:8" ht="15" customHeight="1" x14ac:dyDescent="0.3">
      <c r="A24" s="40"/>
      <c r="B24" s="41"/>
      <c r="C24" s="41"/>
      <c r="D24" s="41"/>
      <c r="E24" s="41"/>
      <c r="F24" s="41"/>
      <c r="G24" s="41"/>
      <c r="H24" s="42"/>
    </row>
    <row r="25" spans="1:8" ht="15" customHeight="1" x14ac:dyDescent="0.3">
      <c r="A25" s="44" t="s">
        <v>22</v>
      </c>
      <c r="B25" s="45"/>
      <c r="C25" s="45"/>
      <c r="D25" s="45"/>
      <c r="E25" s="45"/>
      <c r="F25" s="45"/>
      <c r="G25" s="45"/>
      <c r="H25" s="46"/>
    </row>
    <row r="26" spans="1:8" ht="15" customHeight="1" x14ac:dyDescent="0.3">
      <c r="A26" s="20" t="s">
        <v>23</v>
      </c>
      <c r="B26" s="7" t="s">
        <v>7</v>
      </c>
      <c r="C26" s="7" t="s">
        <v>8</v>
      </c>
      <c r="D26" s="8" t="s">
        <v>9</v>
      </c>
      <c r="E26" s="31" t="s">
        <v>24</v>
      </c>
      <c r="F26" s="9" t="s">
        <v>11</v>
      </c>
      <c r="G26" s="26" t="s">
        <v>12</v>
      </c>
      <c r="H26" s="26" t="s">
        <v>13</v>
      </c>
    </row>
    <row r="27" spans="1:8" ht="15" customHeight="1" x14ac:dyDescent="0.3">
      <c r="A27" s="32" t="s">
        <v>25</v>
      </c>
      <c r="B27" s="23" t="s">
        <v>26</v>
      </c>
      <c r="C27" s="12" t="s">
        <v>42</v>
      </c>
      <c r="D27" s="12" t="s">
        <v>41</v>
      </c>
      <c r="E27" s="12" t="s">
        <v>29</v>
      </c>
      <c r="F27" s="24">
        <v>3000</v>
      </c>
      <c r="G27" s="33">
        <v>3000</v>
      </c>
      <c r="H27" s="34" t="s">
        <v>14</v>
      </c>
    </row>
    <row r="28" spans="1:8" ht="15" customHeight="1" x14ac:dyDescent="0.3">
      <c r="A28" s="35"/>
      <c r="B28" s="23"/>
      <c r="C28" s="23"/>
      <c r="D28" s="12"/>
      <c r="E28" s="12"/>
      <c r="F28" s="24"/>
      <c r="G28" s="25"/>
      <c r="H28" s="36"/>
    </row>
    <row r="29" spans="1:8" ht="15" customHeight="1" x14ac:dyDescent="0.3">
      <c r="A29" s="47" t="s">
        <v>27</v>
      </c>
      <c r="B29" s="23"/>
      <c r="C29" s="23"/>
      <c r="D29" s="12"/>
      <c r="E29" s="12"/>
      <c r="F29" s="24"/>
      <c r="G29" s="25">
        <f t="shared" ref="G29:G31" si="2">E29*F29</f>
        <v>0</v>
      </c>
      <c r="H29" s="15" t="s">
        <v>14</v>
      </c>
    </row>
    <row r="30" spans="1:8" ht="15" customHeight="1" x14ac:dyDescent="0.3">
      <c r="A30" s="48"/>
      <c r="B30" s="23"/>
      <c r="C30" s="23"/>
      <c r="D30" s="12"/>
      <c r="E30" s="12"/>
      <c r="F30" s="24"/>
      <c r="G30" s="25">
        <f t="shared" si="2"/>
        <v>0</v>
      </c>
      <c r="H30" s="15" t="s">
        <v>14</v>
      </c>
    </row>
    <row r="31" spans="1:8" ht="15" customHeight="1" x14ac:dyDescent="0.3">
      <c r="A31" s="48"/>
      <c r="B31" s="16" t="s">
        <v>20</v>
      </c>
      <c r="C31" t="s">
        <v>36</v>
      </c>
      <c r="D31" s="12" t="s">
        <v>40</v>
      </c>
      <c r="E31" s="13">
        <v>1</v>
      </c>
      <c r="F31">
        <v>300</v>
      </c>
      <c r="G31" s="14">
        <f t="shared" si="2"/>
        <v>300</v>
      </c>
      <c r="H31" s="15" t="s">
        <v>14</v>
      </c>
    </row>
    <row r="32" spans="1:8" ht="15" customHeight="1" x14ac:dyDescent="0.3">
      <c r="A32" s="35"/>
      <c r="B32" s="49" t="s">
        <v>28</v>
      </c>
      <c r="C32" s="43"/>
      <c r="D32" s="43"/>
      <c r="E32" s="43"/>
      <c r="F32" s="43"/>
      <c r="G32" s="33">
        <f>G27-SUM(G29:G31)</f>
        <v>2700</v>
      </c>
      <c r="H32" s="34" t="s">
        <v>14</v>
      </c>
    </row>
    <row r="33" spans="1:8" ht="15" customHeight="1" x14ac:dyDescent="0.3">
      <c r="A33" s="35"/>
      <c r="B33" s="2"/>
      <c r="C33" s="2"/>
      <c r="D33" s="18"/>
      <c r="E33" s="18"/>
      <c r="F33" s="18"/>
      <c r="G33" s="37"/>
      <c r="H33" s="38"/>
    </row>
  </sheetData>
  <mergeCells count="10">
    <mergeCell ref="A1:H1"/>
    <mergeCell ref="A7:H7"/>
    <mergeCell ref="B17:F17"/>
    <mergeCell ref="B18:F18"/>
    <mergeCell ref="B19:F19"/>
    <mergeCell ref="B22:F22"/>
    <mergeCell ref="A24:H24"/>
    <mergeCell ref="A25:H25"/>
    <mergeCell ref="A29:A31"/>
    <mergeCell ref="B32:F32"/>
  </mergeCells>
  <conditionalFormatting sqref="G22">
    <cfRule type="cellIs" dxfId="0" priority="1" operator="lessThan">
      <formula>0</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90AB384A939D459845BDBF64EAF1D8" ma:contentTypeVersion="6" ma:contentTypeDescription="Create a new document." ma:contentTypeScope="" ma:versionID="e7124b0295a8222122ef493848f85a4c">
  <xsd:schema xmlns:xsd="http://www.w3.org/2001/XMLSchema" xmlns:xs="http://www.w3.org/2001/XMLSchema" xmlns:p="http://schemas.microsoft.com/office/2006/metadata/properties" xmlns:ns3="f827eb0a-dce5-4188-b0f7-32f076b08296" targetNamespace="http://schemas.microsoft.com/office/2006/metadata/properties" ma:root="true" ma:fieldsID="78963932cc7f42965b847ba97cb03913" ns3:_="">
    <xsd:import namespace="f827eb0a-dce5-4188-b0f7-32f076b08296"/>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27eb0a-dce5-4188-b0f7-32f076b082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827eb0a-dce5-4188-b0f7-32f076b0829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B33816-589D-4B64-AC12-3C3D5A93FD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27eb0a-dce5-4188-b0f7-32f076b082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CFE016-DF0C-46DB-B9D1-39E8C22B7857}">
  <ds:schemaRefs>
    <ds:schemaRef ds:uri="http://schemas.microsoft.com/office/2006/metadata/properties"/>
    <ds:schemaRef ds:uri="http://schemas.microsoft.com/office/2006/documentManagement/types"/>
    <ds:schemaRef ds:uri="f827eb0a-dce5-4188-b0f7-32f076b08296"/>
    <ds:schemaRef ds:uri="http://schemas.openxmlformats.org/package/2006/metadata/core-properties"/>
    <ds:schemaRef ds:uri="http://www.w3.org/XML/1998/namespace"/>
    <ds:schemaRef ds:uri="http://purl.org/dc/terms/"/>
    <ds:schemaRef ds:uri="http://purl.org/dc/elements/1.1/"/>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65BF05D8-4E46-4193-B944-51C7474C76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M</dc:creator>
  <cp:lastModifiedBy>Sam Mangus (Student)</cp:lastModifiedBy>
  <dcterms:created xsi:type="dcterms:W3CDTF">2025-10-26T23:59:30Z</dcterms:created>
  <dcterms:modified xsi:type="dcterms:W3CDTF">2026-03-07T03:50:03Z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0x010100B590AB384A939D459845BDBF64EAF1D8</vt:lpwstr>
  </property>
</Properties>
</file>