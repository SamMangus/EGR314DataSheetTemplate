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238\OneDrive\Desktop\"/>
    </mc:Choice>
  </mc:AlternateContent>
  <xr:revisionPtr revIDLastSave="0" documentId="8_{10C1DCD8-376D-494B-970F-86047B7311D4}" xr6:coauthVersionLast="47" xr6:coauthVersionMax="47" xr10:uidLastSave="{00000000-0000-0000-0000-000000000000}"/>
  <bookViews>
    <workbookView xWindow="-108" yWindow="-108" windowWidth="23256" windowHeight="12456" xr2:uid="{C76CD2D6-7E43-4BC8-A0F0-AA672F050932}"/>
  </bookViews>
  <sheets>
    <sheet name="egr314-subsystem schematic de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15" i="1"/>
  <c r="I16" i="1"/>
  <c r="I5" i="1"/>
</calcChain>
</file>

<file path=xl/sharedStrings.xml><?xml version="1.0" encoding="utf-8"?>
<sst xmlns="http://schemas.openxmlformats.org/spreadsheetml/2006/main" count="84" uniqueCount="65">
  <si>
    <t>Date:</t>
  </si>
  <si>
    <t>Item</t>
  </si>
  <si>
    <t>Qty</t>
  </si>
  <si>
    <t>Reference(s)</t>
  </si>
  <si>
    <t>Value</t>
  </si>
  <si>
    <t>LibPart</t>
  </si>
  <si>
    <t>Description</t>
  </si>
  <si>
    <t>Device:C</t>
  </si>
  <si>
    <t>Unpolarized capacitor</t>
  </si>
  <si>
    <t>.33uF</t>
  </si>
  <si>
    <t>Device:LED</t>
  </si>
  <si>
    <t>Light emitting diode</t>
  </si>
  <si>
    <t>LED RED</t>
  </si>
  <si>
    <t>F1</t>
  </si>
  <si>
    <t>Device:Fuse</t>
  </si>
  <si>
    <t>Fuse</t>
  </si>
  <si>
    <t>J3</t>
  </si>
  <si>
    <t>Connector_Generic:Conn_02x04_Odd_Even</t>
  </si>
  <si>
    <t>Barrel_Jack_Switch</t>
  </si>
  <si>
    <t>voltage regulator smbols:Barrel_Jack_Switch</t>
  </si>
  <si>
    <t>DC Barrel Jack with an internal switch</t>
  </si>
  <si>
    <t>JP1</t>
  </si>
  <si>
    <t>Jumper:Jumper_2_Bridged</t>
  </si>
  <si>
    <t>Jumper, 2-pole, closed/bridged</t>
  </si>
  <si>
    <t>10K</t>
  </si>
  <si>
    <t>Device:R_US</t>
  </si>
  <si>
    <t>Resistor, US symbol</t>
  </si>
  <si>
    <t>SW1</t>
  </si>
  <si>
    <t>Switch:SW_DPST</t>
  </si>
  <si>
    <t>Double Pole Single Throw (DPST) Switch</t>
  </si>
  <si>
    <t>TestPoint_Small</t>
  </si>
  <si>
    <t>Connector:TestPoint_Small</t>
  </si>
  <si>
    <t>test point</t>
  </si>
  <si>
    <t>U1</t>
  </si>
  <si>
    <t>Cost per unit</t>
  </si>
  <si>
    <t>TotalCost</t>
  </si>
  <si>
    <t>Provided in class</t>
  </si>
  <si>
    <t xml:space="preserve">Generic connector, double row, 02x04, </t>
  </si>
  <si>
    <t>Generic connector, double row, 02x04</t>
  </si>
  <si>
    <t>SW_DEBUG</t>
  </si>
  <si>
    <t>D1</t>
  </si>
  <si>
    <t>TP1, TP2</t>
  </si>
  <si>
    <t>R1, R2</t>
  </si>
  <si>
    <t>5K</t>
  </si>
  <si>
    <t>R4</t>
  </si>
  <si>
    <t>Conn1_Upstream</t>
  </si>
  <si>
    <t>Conn2_Downstream</t>
  </si>
  <si>
    <t>Fuse 1</t>
  </si>
  <si>
    <t>C1, C2</t>
  </si>
  <si>
    <t>J2</t>
  </si>
  <si>
    <t>J1</t>
  </si>
  <si>
    <t>Jumper_2_Small_Bridged</t>
  </si>
  <si>
    <t>R3</t>
  </si>
  <si>
    <t>U2</t>
  </si>
  <si>
    <t>U3</t>
  </si>
  <si>
    <t>U4</t>
  </si>
  <si>
    <t>PIC18F47K42</t>
  </si>
  <si>
    <t>MIC5504</t>
  </si>
  <si>
    <t>N/A</t>
  </si>
  <si>
    <t>TC74A4</t>
  </si>
  <si>
    <t>SNAP_DEBUGGER</t>
  </si>
  <si>
    <t>MPLab snap in circuit debugger</t>
  </si>
  <si>
    <t>Voltage regulator 3.3V</t>
  </si>
  <si>
    <t>Temperature sensor</t>
  </si>
  <si>
    <t>PIC Microcontoller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</si>
</sst>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B3F3-8F6C-4F17-9298-567B54B99CCD}">
  <dimension ref="A1:J18"/>
  <sheetViews>
    <sheetView tabSelected="1" workbookViewId="0">
      <selection sqref="A1:J19"/>
    </sheetView>
  </sheetViews>
  <sheetFormatPr defaultRowHeight="14.4" x14ac:dyDescent="0.3"/>
  <cols>
    <col min="3" max="3" width="26.44140625" customWidth="1"/>
    <col min="4" max="4" width="21" bestFit="1" customWidth="1"/>
    <col min="5" max="5" width="10.33203125" customWidth="1"/>
    <col min="6" max="6" width="26.6640625" customWidth="1"/>
    <col min="8" max="8" width="15.21875" customWidth="1"/>
    <col min="10" max="10" width="63.109375" customWidth="1"/>
  </cols>
  <sheetData>
    <row r="1" spans="1:10" x14ac:dyDescent="0.3">
      <c r="A1" t="s">
        <v>0</v>
      </c>
      <c r="B1" s="1">
        <v>46087</v>
      </c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H2" t="s">
        <v>34</v>
      </c>
      <c r="I2" t="s">
        <v>35</v>
      </c>
      <c r="J2" t="s">
        <v>6</v>
      </c>
    </row>
    <row r="3" spans="1:10" x14ac:dyDescent="0.3">
      <c r="A3">
        <v>1</v>
      </c>
      <c r="B3">
        <v>2</v>
      </c>
      <c r="C3" t="s">
        <v>48</v>
      </c>
      <c r="D3" t="s">
        <v>9</v>
      </c>
      <c r="E3" t="s">
        <v>7</v>
      </c>
      <c r="H3" t="s">
        <v>36</v>
      </c>
      <c r="I3">
        <v>0</v>
      </c>
      <c r="J3" t="s">
        <v>8</v>
      </c>
    </row>
    <row r="4" spans="1:10" x14ac:dyDescent="0.3">
      <c r="A4">
        <v>2</v>
      </c>
      <c r="B4">
        <v>1</v>
      </c>
      <c r="C4" t="s">
        <v>40</v>
      </c>
      <c r="D4" t="s">
        <v>12</v>
      </c>
      <c r="E4" t="s">
        <v>10</v>
      </c>
      <c r="H4" t="s">
        <v>36</v>
      </c>
      <c r="I4">
        <v>0</v>
      </c>
      <c r="J4" t="s">
        <v>11</v>
      </c>
    </row>
    <row r="5" spans="1:10" x14ac:dyDescent="0.3">
      <c r="A5">
        <v>3</v>
      </c>
      <c r="B5">
        <v>1</v>
      </c>
      <c r="C5" t="s">
        <v>13</v>
      </c>
      <c r="D5" t="s">
        <v>47</v>
      </c>
      <c r="E5" t="s">
        <v>14</v>
      </c>
      <c r="H5">
        <v>0.75</v>
      </c>
      <c r="I5">
        <f>SUM(B5*H5)</f>
        <v>0.75</v>
      </c>
      <c r="J5" t="s">
        <v>15</v>
      </c>
    </row>
    <row r="6" spans="1:10" x14ac:dyDescent="0.3">
      <c r="A6">
        <v>4</v>
      </c>
      <c r="B6">
        <v>1</v>
      </c>
      <c r="C6" t="s">
        <v>49</v>
      </c>
      <c r="D6" t="s">
        <v>45</v>
      </c>
      <c r="E6" t="s">
        <v>17</v>
      </c>
      <c r="H6" t="s">
        <v>36</v>
      </c>
      <c r="I6">
        <v>0</v>
      </c>
      <c r="J6" t="s">
        <v>37</v>
      </c>
    </row>
    <row r="7" spans="1:10" x14ac:dyDescent="0.3">
      <c r="A7">
        <v>5</v>
      </c>
      <c r="B7">
        <v>1</v>
      </c>
      <c r="C7" t="s">
        <v>16</v>
      </c>
      <c r="D7" t="s">
        <v>46</v>
      </c>
      <c r="E7" t="s">
        <v>17</v>
      </c>
      <c r="H7" t="s">
        <v>36</v>
      </c>
      <c r="I7">
        <v>0</v>
      </c>
      <c r="J7" t="s">
        <v>38</v>
      </c>
    </row>
    <row r="8" spans="1:10" x14ac:dyDescent="0.3">
      <c r="A8">
        <v>6</v>
      </c>
      <c r="B8">
        <v>1</v>
      </c>
      <c r="C8" t="s">
        <v>50</v>
      </c>
      <c r="D8" t="s">
        <v>18</v>
      </c>
      <c r="E8" t="s">
        <v>19</v>
      </c>
      <c r="H8" t="s">
        <v>36</v>
      </c>
      <c r="I8">
        <v>0</v>
      </c>
      <c r="J8" t="s">
        <v>20</v>
      </c>
    </row>
    <row r="9" spans="1:10" x14ac:dyDescent="0.3">
      <c r="A9">
        <v>7</v>
      </c>
      <c r="B9">
        <v>1</v>
      </c>
      <c r="C9" t="s">
        <v>21</v>
      </c>
      <c r="D9" t="s">
        <v>51</v>
      </c>
      <c r="E9" t="s">
        <v>22</v>
      </c>
      <c r="H9" t="s">
        <v>36</v>
      </c>
      <c r="I9">
        <v>0</v>
      </c>
      <c r="J9" t="s">
        <v>23</v>
      </c>
    </row>
    <row r="10" spans="1:10" x14ac:dyDescent="0.3">
      <c r="A10">
        <v>8</v>
      </c>
      <c r="B10">
        <v>2</v>
      </c>
      <c r="C10" t="s">
        <v>42</v>
      </c>
      <c r="D10" t="s">
        <v>43</v>
      </c>
      <c r="E10" t="s">
        <v>25</v>
      </c>
      <c r="H10" t="s">
        <v>36</v>
      </c>
      <c r="I10">
        <v>0</v>
      </c>
      <c r="J10" t="s">
        <v>26</v>
      </c>
    </row>
    <row r="11" spans="1:10" x14ac:dyDescent="0.3">
      <c r="A11">
        <v>9</v>
      </c>
      <c r="B11">
        <v>1</v>
      </c>
      <c r="C11" t="s">
        <v>52</v>
      </c>
      <c r="D11" t="s">
        <v>24</v>
      </c>
      <c r="E11" t="s">
        <v>25</v>
      </c>
      <c r="H11" t="s">
        <v>36</v>
      </c>
      <c r="I11">
        <v>0</v>
      </c>
      <c r="J11" t="s">
        <v>26</v>
      </c>
    </row>
    <row r="12" spans="1:10" x14ac:dyDescent="0.3">
      <c r="A12">
        <v>10</v>
      </c>
      <c r="B12">
        <v>1</v>
      </c>
      <c r="C12" t="s">
        <v>44</v>
      </c>
      <c r="D12" s="2">
        <v>220</v>
      </c>
      <c r="E12" t="s">
        <v>25</v>
      </c>
      <c r="H12" t="s">
        <v>36</v>
      </c>
      <c r="I12">
        <v>0</v>
      </c>
      <c r="J12" t="s">
        <v>26</v>
      </c>
    </row>
    <row r="13" spans="1:10" x14ac:dyDescent="0.3">
      <c r="A13">
        <v>11</v>
      </c>
      <c r="B13">
        <v>1</v>
      </c>
      <c r="C13" t="s">
        <v>27</v>
      </c>
      <c r="D13" t="s">
        <v>39</v>
      </c>
      <c r="E13" t="s">
        <v>28</v>
      </c>
      <c r="H13" t="s">
        <v>36</v>
      </c>
      <c r="I13">
        <v>0</v>
      </c>
      <c r="J13" t="s">
        <v>29</v>
      </c>
    </row>
    <row r="14" spans="1:10" x14ac:dyDescent="0.3">
      <c r="A14">
        <v>12</v>
      </c>
      <c r="B14">
        <v>2</v>
      </c>
      <c r="C14" t="s">
        <v>41</v>
      </c>
      <c r="D14" t="s">
        <v>30</v>
      </c>
      <c r="E14" t="s">
        <v>31</v>
      </c>
      <c r="H14" t="s">
        <v>36</v>
      </c>
      <c r="I14">
        <v>0</v>
      </c>
      <c r="J14" t="s">
        <v>32</v>
      </c>
    </row>
    <row r="15" spans="1:10" x14ac:dyDescent="0.3">
      <c r="A15">
        <v>13</v>
      </c>
      <c r="B15">
        <v>1</v>
      </c>
      <c r="C15" t="s">
        <v>33</v>
      </c>
      <c r="D15" t="s">
        <v>56</v>
      </c>
      <c r="E15" t="s">
        <v>58</v>
      </c>
      <c r="H15">
        <v>2.79</v>
      </c>
      <c r="I15">
        <f t="shared" ref="I15:I16" si="0">SUM(B15*H15)</f>
        <v>2.79</v>
      </c>
      <c r="J15" t="s">
        <v>64</v>
      </c>
    </row>
    <row r="16" spans="1:10" x14ac:dyDescent="0.3">
      <c r="A16">
        <v>14</v>
      </c>
      <c r="B16">
        <v>1</v>
      </c>
      <c r="C16" t="s">
        <v>53</v>
      </c>
      <c r="D16" t="s">
        <v>59</v>
      </c>
      <c r="E16" t="s">
        <v>58</v>
      </c>
      <c r="H16">
        <v>1.1499999999999999</v>
      </c>
      <c r="I16">
        <f t="shared" si="0"/>
        <v>1.1499999999999999</v>
      </c>
      <c r="J16" t="s">
        <v>63</v>
      </c>
    </row>
    <row r="17" spans="1:10" x14ac:dyDescent="0.3">
      <c r="A17">
        <v>15</v>
      </c>
      <c r="B17">
        <v>1</v>
      </c>
      <c r="C17" t="s">
        <v>54</v>
      </c>
      <c r="D17" t="s">
        <v>57</v>
      </c>
      <c r="E17" t="s">
        <v>58</v>
      </c>
      <c r="H17">
        <v>0.16</v>
      </c>
      <c r="I17">
        <f t="shared" ref="I17" si="1">SUM(B17*H17)</f>
        <v>0.16</v>
      </c>
      <c r="J17" t="s">
        <v>62</v>
      </c>
    </row>
    <row r="18" spans="1:10" x14ac:dyDescent="0.3">
      <c r="A18">
        <v>16</v>
      </c>
      <c r="B18">
        <v>1</v>
      </c>
      <c r="C18" t="s">
        <v>55</v>
      </c>
      <c r="D18" t="s">
        <v>60</v>
      </c>
      <c r="E18" t="s">
        <v>58</v>
      </c>
      <c r="H18" t="s">
        <v>36</v>
      </c>
      <c r="J1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egr314-subsystem schematic desi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BURNS</dc:creator>
  <cp:lastModifiedBy>Sam Mangus (Student)</cp:lastModifiedBy>
  <dcterms:created xsi:type="dcterms:W3CDTF">2026-03-06T03:48:19Z</dcterms:created>
  <dcterms:modified xsi:type="dcterms:W3CDTF">2026-03-07T04:27:05Z</dcterms:modified>
</cp:coreProperties>
</file>